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ngb\Dropbox\Teaching\IEDA 1250 Spr 2026\"/>
    </mc:Choice>
  </mc:AlternateContent>
  <xr:revisionPtr revIDLastSave="0" documentId="13_ncr:1_{169DF30F-0087-4D9B-AEA3-DF4B17BF8099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Capital Budgeting_Empty" sheetId="3" r:id="rId1"/>
    <sheet name="Capital Budgeting" sheetId="1" r:id="rId2"/>
  </sheets>
  <definedNames>
    <definedName name="solver_adj" localSheetId="1" hidden="1">'Capital Budgeting'!$B$11:$F$11</definedName>
    <definedName name="solver_adj" localSheetId="0" hidden="1">'Capital Budgeting_Empty'!$B$11:$F$11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'Capital Budgeting'!$B$11:$F$11</definedName>
    <definedName name="solver_lhs1" localSheetId="0" hidden="1">'Capital Budgeting_Empty'!$B$11:$F$11</definedName>
    <definedName name="solver_lhs2" localSheetId="1" hidden="1">'Capital Budgeting'!$G$14:$G$19</definedName>
    <definedName name="solver_lhs2" localSheetId="0" hidden="1">'Capital Budgeting_Empty'!$G$14:$G$19</definedName>
    <definedName name="solver_lhs3" localSheetId="1" hidden="1">'Capital Budgeting'!$G$20</definedName>
    <definedName name="solver_lhs3" localSheetId="0" hidden="1">'Capital Budgeting_Empty'!$G$20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3</definedName>
    <definedName name="solver_num" localSheetId="0" hidden="1">3</definedName>
    <definedName name="solver_nwt" localSheetId="1" hidden="1">1</definedName>
    <definedName name="solver_nwt" localSheetId="0" hidden="1">1</definedName>
    <definedName name="solver_opt" localSheetId="1" hidden="1">'Capital Budgeting'!$G$12</definedName>
    <definedName name="solver_opt" localSheetId="0" hidden="1">'Capital Budgeting_Empty'!$G$12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5</definedName>
    <definedName name="solver_rel1" localSheetId="0" hidden="1">5</definedName>
    <definedName name="solver_rel2" localSheetId="1" hidden="1">1</definedName>
    <definedName name="solver_rel2" localSheetId="0" hidden="1">1</definedName>
    <definedName name="solver_rel3" localSheetId="1" hidden="1">3</definedName>
    <definedName name="solver_rel3" localSheetId="0" hidden="1">3</definedName>
    <definedName name="solver_rhs1" localSheetId="1" hidden="1">"binary"</definedName>
    <definedName name="solver_rhs1" localSheetId="0" hidden="1">"binary"</definedName>
    <definedName name="solver_rhs2" localSheetId="1" hidden="1">'Capital Budgeting'!$I$14:$I$19</definedName>
    <definedName name="solver_rhs2" localSheetId="0" hidden="1">'Capital Budgeting_Empty'!$H$14:$H$19</definedName>
    <definedName name="solver_rhs3" localSheetId="1" hidden="1">'Capital Budgeting'!$I$20</definedName>
    <definedName name="solver_rhs3" localSheetId="0" hidden="1">'Capital Budgeting_Empty'!$H$20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0" i="3"/>
  <c r="E10" i="3"/>
  <c r="D10" i="3"/>
  <c r="C10" i="3"/>
  <c r="B10" i="3"/>
  <c r="G20" i="1"/>
  <c r="G19" i="1"/>
  <c r="G18" i="1"/>
  <c r="G17" i="1"/>
  <c r="G16" i="1"/>
  <c r="G15" i="1"/>
  <c r="G14" i="1"/>
  <c r="I14" i="1"/>
  <c r="I15" i="1"/>
  <c r="I16" i="1"/>
  <c r="I17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B15" i="1"/>
  <c r="B16" i="1"/>
  <c r="B17" i="1"/>
  <c r="B14" i="1"/>
  <c r="C10" i="1"/>
  <c r="D10" i="1"/>
  <c r="E10" i="1"/>
  <c r="F10" i="1"/>
  <c r="B10" i="1"/>
</calcChain>
</file>

<file path=xl/sharedStrings.xml><?xml version="1.0" encoding="utf-8"?>
<sst xmlns="http://schemas.openxmlformats.org/spreadsheetml/2006/main" count="47" uniqueCount="17">
  <si>
    <t xml:space="preserve">Project 1 </t>
  </si>
  <si>
    <t>Project 2</t>
  </si>
  <si>
    <t>Project 3</t>
  </si>
  <si>
    <t>Project 4</t>
  </si>
  <si>
    <t>Project 5</t>
  </si>
  <si>
    <t>Budget</t>
  </si>
  <si>
    <t>Year 1</t>
  </si>
  <si>
    <t>Year 2</t>
  </si>
  <si>
    <t>Year 3</t>
  </si>
  <si>
    <t>Year 4</t>
  </si>
  <si>
    <t>NPV</t>
  </si>
  <si>
    <t>Selected?</t>
  </si>
  <si>
    <t>Prj 1 &amp; 2</t>
  </si>
  <si>
    <t>Prj 4 &amp; 5</t>
  </si>
  <si>
    <t>Prj 3, 4, 5</t>
  </si>
  <si>
    <t>&lt;=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</si>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</sst>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7C8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/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57974</xdr:colOff>
      <xdr:row>0</xdr:row>
      <xdr:rowOff>26352</xdr:rowOff>
    </xdr:from>
    <xdr:to>
      <xdr:col>19</xdr:col>
      <xdr:colOff>266734</xdr:colOff>
      <xdr:row>20</xdr:row>
      <xdr:rowOff>7330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065BB1-6CC4-F829-EE0E-C2C3B227D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2320" y="26352"/>
          <a:ext cx="6680876" cy="3595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536769</xdr:colOff>
      <xdr:row>0</xdr:row>
      <xdr:rowOff>0</xdr:rowOff>
    </xdr:from>
    <xdr:to>
      <xdr:col>17</xdr:col>
      <xdr:colOff>199255</xdr:colOff>
      <xdr:row>13</xdr:row>
      <xdr:rowOff>161477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095EC-0366-3974-97BF-EC5EFC22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3169" y="0"/>
          <a:ext cx="4539286" cy="2637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3E65-D417-4913-9311-7E94F2DAC709}">
  <dimension ref="A1:H20"/>
  <sheetViews>
    <sheetView zoomScale="195" zoomScaleNormal="150" workbookViewId="0">
      <selection activeCell="G12" sqref="G12"/>
    </sheetView>
  </sheetViews>
  <sheetFormatPr defaultRowHeight="14.25" x14ac:dyDescent="0.45"/>
  <cols>
    <col min="1" max="1" width="10.86328125" style="2" customWidth="1"/>
  </cols>
  <sheetData>
    <row r="1" spans="1:8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</row>
    <row r="2" spans="1:8" x14ac:dyDescent="0.45">
      <c r="A2" s="2" t="s">
        <v>6</v>
      </c>
      <c r="B2" s="2">
        <v>5</v>
      </c>
      <c r="C2" s="2">
        <v>11</v>
      </c>
      <c r="D2" s="2">
        <v>13</v>
      </c>
      <c r="E2" s="2">
        <v>16</v>
      </c>
      <c r="F2" s="2">
        <v>9</v>
      </c>
      <c r="G2" s="4">
        <v>32</v>
      </c>
    </row>
    <row r="3" spans="1:8" x14ac:dyDescent="0.45">
      <c r="A3" s="2" t="s">
        <v>7</v>
      </c>
      <c r="B3" s="2">
        <v>2</v>
      </c>
      <c r="C3" s="2">
        <v>8</v>
      </c>
      <c r="D3" s="2">
        <v>7</v>
      </c>
      <c r="E3" s="2">
        <v>7</v>
      </c>
      <c r="F3" s="2">
        <v>6</v>
      </c>
      <c r="G3" s="4">
        <v>30</v>
      </c>
    </row>
    <row r="4" spans="1:8" x14ac:dyDescent="0.45">
      <c r="A4" s="2" t="s">
        <v>8</v>
      </c>
      <c r="B4" s="2">
        <v>2</v>
      </c>
      <c r="C4" s="2">
        <v>6</v>
      </c>
      <c r="D4" s="2">
        <v>6</v>
      </c>
      <c r="E4" s="2">
        <v>6</v>
      </c>
      <c r="F4" s="2">
        <v>1</v>
      </c>
      <c r="G4" s="4">
        <v>15</v>
      </c>
    </row>
    <row r="5" spans="1:8" x14ac:dyDescent="0.45">
      <c r="A5" s="1" t="s">
        <v>9</v>
      </c>
      <c r="B5" s="1">
        <v>0</v>
      </c>
      <c r="C5" s="1">
        <v>3</v>
      </c>
      <c r="D5" s="1">
        <v>4</v>
      </c>
      <c r="E5" s="1">
        <v>6</v>
      </c>
      <c r="F5" s="1">
        <v>-1</v>
      </c>
      <c r="G5" s="3">
        <v>11</v>
      </c>
    </row>
    <row r="6" spans="1:8" x14ac:dyDescent="0.45">
      <c r="A6" s="7" t="s">
        <v>10</v>
      </c>
      <c r="B6" s="7">
        <v>10</v>
      </c>
      <c r="C6" s="7">
        <v>18</v>
      </c>
      <c r="D6" s="7">
        <v>22</v>
      </c>
      <c r="E6" s="7">
        <v>25</v>
      </c>
      <c r="F6" s="7">
        <v>12</v>
      </c>
      <c r="G6" s="5"/>
    </row>
    <row r="10" spans="1:8" x14ac:dyDescent="0.45">
      <c r="B10" t="str">
        <f>B1</f>
        <v xml:space="preserve">Project 1 </v>
      </c>
      <c r="C10" t="str">
        <f t="shared" ref="C10:F10" si="0">C1</f>
        <v>Project 2</v>
      </c>
      <c r="D10" t="str">
        <f t="shared" si="0"/>
        <v>Project 3</v>
      </c>
      <c r="E10" t="str">
        <f t="shared" si="0"/>
        <v>Project 4</v>
      </c>
      <c r="F10" t="str">
        <f t="shared" si="0"/>
        <v>Project 5</v>
      </c>
    </row>
    <row r="11" spans="1:8" x14ac:dyDescent="0.45">
      <c r="A11" s="2" t="s">
        <v>11</v>
      </c>
      <c r="B11" s="6"/>
      <c r="C11" s="6"/>
      <c r="D11" s="6"/>
      <c r="E11" s="6"/>
      <c r="F11" s="6"/>
    </row>
    <row r="12" spans="1:8" x14ac:dyDescent="0.45">
      <c r="A12" s="9" t="s">
        <v>10</v>
      </c>
      <c r="B12" s="8">
        <v>10</v>
      </c>
      <c r="C12" s="8">
        <v>18</v>
      </c>
      <c r="D12" s="8">
        <v>22</v>
      </c>
      <c r="E12" s="8">
        <v>25</v>
      </c>
      <c r="F12" s="8">
        <v>12</v>
      </c>
      <c r="G12" s="10"/>
    </row>
    <row r="14" spans="1:8" x14ac:dyDescent="0.45">
      <c r="A14" s="2" t="s">
        <v>6</v>
      </c>
      <c r="B14" s="2"/>
      <c r="C14" s="2"/>
      <c r="D14" s="2"/>
      <c r="E14" s="2"/>
      <c r="F14" s="2"/>
      <c r="H14" s="11"/>
    </row>
    <row r="15" spans="1:8" x14ac:dyDescent="0.45">
      <c r="A15" s="2" t="s">
        <v>7</v>
      </c>
      <c r="B15" s="12"/>
      <c r="C15" s="12"/>
      <c r="D15" s="12"/>
      <c r="E15" s="12"/>
      <c r="F15" s="12"/>
      <c r="H15" s="11"/>
    </row>
    <row r="16" spans="1:8" x14ac:dyDescent="0.45">
      <c r="A16" s="2" t="s">
        <v>8</v>
      </c>
      <c r="B16" s="12"/>
      <c r="C16" s="12"/>
      <c r="D16" s="12"/>
      <c r="E16" s="12"/>
      <c r="F16" s="12"/>
      <c r="H16" s="11"/>
    </row>
    <row r="17" spans="1:8" x14ac:dyDescent="0.45">
      <c r="A17" s="2" t="s">
        <v>9</v>
      </c>
      <c r="B17" s="12"/>
      <c r="C17" s="12"/>
      <c r="D17" s="12"/>
      <c r="E17" s="12"/>
      <c r="F17" s="12"/>
      <c r="H17" s="11"/>
    </row>
    <row r="18" spans="1:8" x14ac:dyDescent="0.45">
      <c r="A18" s="2" t="s">
        <v>12</v>
      </c>
      <c r="B18" s="12"/>
      <c r="C18" s="12"/>
      <c r="D18" s="12"/>
      <c r="E18" s="12"/>
      <c r="F18" s="12"/>
      <c r="H18" s="11"/>
    </row>
    <row r="19" spans="1:8" x14ac:dyDescent="0.45">
      <c r="A19" s="2" t="s">
        <v>13</v>
      </c>
      <c r="B19" s="12"/>
      <c r="C19" s="12"/>
      <c r="D19" s="12"/>
      <c r="E19" s="12"/>
      <c r="F19" s="12"/>
      <c r="H19" s="11"/>
    </row>
    <row r="20" spans="1:8" x14ac:dyDescent="0.45">
      <c r="A20" s="2" t="s">
        <v>14</v>
      </c>
      <c r="B20" s="12"/>
      <c r="C20" s="12"/>
      <c r="D20" s="12"/>
      <c r="E20" s="12"/>
      <c r="F20" s="12"/>
      <c r="H2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D33" sqref="D33"/>
    </sheetView>
  </sheetViews>
  <sheetFormatPr defaultRowHeight="14.25" x14ac:dyDescent="0.45"/>
  <cols>
    <col min="1" max="1" width="9.1328125" style="2"/>
  </cols>
  <sheetData>
    <row r="1" spans="1:9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</row>
    <row r="2" spans="1:9" x14ac:dyDescent="0.45">
      <c r="A2" s="2" t="s">
        <v>6</v>
      </c>
      <c r="B2" s="2">
        <v>5</v>
      </c>
      <c r="C2" s="2">
        <v>11</v>
      </c>
      <c r="D2" s="2">
        <v>13</v>
      </c>
      <c r="E2" s="2">
        <v>16</v>
      </c>
      <c r="F2" s="2">
        <v>9</v>
      </c>
      <c r="G2" s="4">
        <v>32</v>
      </c>
    </row>
    <row r="3" spans="1:9" x14ac:dyDescent="0.45">
      <c r="A3" s="2" t="s">
        <v>7</v>
      </c>
      <c r="B3" s="2">
        <v>2</v>
      </c>
      <c r="C3" s="2">
        <v>8</v>
      </c>
      <c r="D3" s="2">
        <v>7</v>
      </c>
      <c r="E3" s="2">
        <v>7</v>
      </c>
      <c r="F3" s="2">
        <v>6</v>
      </c>
      <c r="G3" s="4">
        <v>30</v>
      </c>
    </row>
    <row r="4" spans="1:9" x14ac:dyDescent="0.45">
      <c r="A4" s="2" t="s">
        <v>8</v>
      </c>
      <c r="B4" s="2">
        <v>2</v>
      </c>
      <c r="C4" s="2">
        <v>6</v>
      </c>
      <c r="D4" s="2">
        <v>6</v>
      </c>
      <c r="E4" s="2">
        <v>6</v>
      </c>
      <c r="F4" s="2">
        <v>1</v>
      </c>
      <c r="G4" s="4">
        <v>15</v>
      </c>
    </row>
    <row r="5" spans="1:9" x14ac:dyDescent="0.45">
      <c r="A5" s="1" t="s">
        <v>9</v>
      </c>
      <c r="B5" s="1">
        <v>0</v>
      </c>
      <c r="C5" s="1">
        <v>3</v>
      </c>
      <c r="D5" s="1">
        <v>4</v>
      </c>
      <c r="E5" s="1">
        <v>6</v>
      </c>
      <c r="F5" s="1">
        <v>-1</v>
      </c>
      <c r="G5" s="3">
        <v>11</v>
      </c>
    </row>
    <row r="6" spans="1:9" x14ac:dyDescent="0.45">
      <c r="A6" s="7" t="s">
        <v>10</v>
      </c>
      <c r="B6" s="7">
        <v>10</v>
      </c>
      <c r="C6" s="7">
        <v>18</v>
      </c>
      <c r="D6" s="7">
        <v>22</v>
      </c>
      <c r="E6" s="7">
        <v>25</v>
      </c>
      <c r="F6" s="7">
        <v>12</v>
      </c>
      <c r="G6" s="5"/>
    </row>
    <row r="10" spans="1:9" x14ac:dyDescent="0.45">
      <c r="B10" t="str">
        <f>B1</f>
        <v xml:space="preserve">Project 1 </v>
      </c>
      <c r="C10" t="str">
        <f t="shared" ref="C10:F10" si="0">C1</f>
        <v>Project 2</v>
      </c>
      <c r="D10" t="str">
        <f t="shared" si="0"/>
        <v>Project 3</v>
      </c>
      <c r="E10" t="str">
        <f t="shared" si="0"/>
        <v>Project 4</v>
      </c>
      <c r="F10" t="str">
        <f t="shared" si="0"/>
        <v>Project 5</v>
      </c>
    </row>
    <row r="11" spans="1:9" x14ac:dyDescent="0.45">
      <c r="A11" s="2" t="s">
        <v>11</v>
      </c>
      <c r="B11" s="6">
        <v>1</v>
      </c>
      <c r="C11" s="6">
        <v>1</v>
      </c>
      <c r="D11" s="6">
        <v>0</v>
      </c>
      <c r="E11" s="6">
        <v>1</v>
      </c>
      <c r="F11" s="6">
        <v>0</v>
      </c>
    </row>
    <row r="12" spans="1:9" x14ac:dyDescent="0.45">
      <c r="A12" s="9" t="s">
        <v>10</v>
      </c>
      <c r="B12" s="8">
        <v>10</v>
      </c>
      <c r="C12" s="8">
        <v>18</v>
      </c>
      <c r="D12" s="8">
        <v>22</v>
      </c>
      <c r="E12" s="8">
        <v>25</v>
      </c>
      <c r="F12" s="8">
        <v>12</v>
      </c>
      <c r="G12" s="10">
        <f>SUMPRODUCT(B12:F12,B11:F11)</f>
        <v>53</v>
      </c>
    </row>
    <row r="14" spans="1:9" x14ac:dyDescent="0.45">
      <c r="A14" s="2" t="s">
        <v>6</v>
      </c>
      <c r="B14">
        <f>SUM(B$2:B2)</f>
        <v>5</v>
      </c>
      <c r="C14">
        <f>SUM(C$2:C2)</f>
        <v>11</v>
      </c>
      <c r="D14">
        <f>SUM(D$2:D2)</f>
        <v>13</v>
      </c>
      <c r="E14">
        <f>SUM(E$2:E2)</f>
        <v>16</v>
      </c>
      <c r="F14">
        <f>SUM(F$2:F2)</f>
        <v>9</v>
      </c>
      <c r="G14">
        <f>SUMPRODUCT(B14:F14,B11:F11)</f>
        <v>32</v>
      </c>
      <c r="H14" t="s">
        <v>15</v>
      </c>
      <c r="I14">
        <f>SUM(G$2:G2)</f>
        <v>32</v>
      </c>
    </row>
    <row r="15" spans="1:9" x14ac:dyDescent="0.45">
      <c r="A15" s="2" t="s">
        <v>7</v>
      </c>
      <c r="B15">
        <f>SUM(B$2:B3)</f>
        <v>7</v>
      </c>
      <c r="C15">
        <f>SUM(C$2:C3)</f>
        <v>19</v>
      </c>
      <c r="D15">
        <f>SUM(D$2:D3)</f>
        <v>20</v>
      </c>
      <c r="E15">
        <f>SUM(E$2:E3)</f>
        <v>23</v>
      </c>
      <c r="F15">
        <f>SUM(F$2:F3)</f>
        <v>15</v>
      </c>
      <c r="G15">
        <f>SUMPRODUCT(B15:F15,B11:F11)</f>
        <v>49</v>
      </c>
      <c r="H15" t="s">
        <v>15</v>
      </c>
      <c r="I15">
        <f>SUM(G$2:G3)</f>
        <v>62</v>
      </c>
    </row>
    <row r="16" spans="1:9" x14ac:dyDescent="0.45">
      <c r="A16" s="2" t="s">
        <v>8</v>
      </c>
      <c r="B16">
        <f>SUM(B$2:B4)</f>
        <v>9</v>
      </c>
      <c r="C16">
        <f>SUM(C$2:C4)</f>
        <v>25</v>
      </c>
      <c r="D16">
        <f>SUM(D$2:D4)</f>
        <v>26</v>
      </c>
      <c r="E16">
        <f>SUM(E$2:E4)</f>
        <v>29</v>
      </c>
      <c r="F16">
        <f>SUM(F$2:F4)</f>
        <v>16</v>
      </c>
      <c r="G16">
        <f>SUMPRODUCT(B16:F16,B11:F11)</f>
        <v>63</v>
      </c>
      <c r="H16" t="s">
        <v>15</v>
      </c>
      <c r="I16">
        <f>SUM(G$2:G4)</f>
        <v>77</v>
      </c>
    </row>
    <row r="17" spans="1:9" x14ac:dyDescent="0.45">
      <c r="A17" s="2" t="s">
        <v>9</v>
      </c>
      <c r="B17">
        <f>SUM(B$2:B5)</f>
        <v>9</v>
      </c>
      <c r="C17">
        <f>SUM(C$2:C5)</f>
        <v>28</v>
      </c>
      <c r="D17">
        <f>SUM(D$2:D5)</f>
        <v>30</v>
      </c>
      <c r="E17">
        <f>SUM(E$2:E5)</f>
        <v>35</v>
      </c>
      <c r="F17">
        <f>SUM(F$2:F5)</f>
        <v>15</v>
      </c>
      <c r="G17">
        <f>SUMPRODUCT(B17:F17,B11:F11)</f>
        <v>72</v>
      </c>
      <c r="H17" t="s">
        <v>15</v>
      </c>
      <c r="I17">
        <f>SUM(G$2:G5)</f>
        <v>88</v>
      </c>
    </row>
    <row r="18" spans="1:9" x14ac:dyDescent="0.45">
      <c r="A18" s="2" t="s">
        <v>12</v>
      </c>
      <c r="B18">
        <v>-1</v>
      </c>
      <c r="C18">
        <v>1</v>
      </c>
      <c r="G18">
        <f>SUMPRODUCT(B18:C18,B11:C11)</f>
        <v>0</v>
      </c>
      <c r="H18" t="s">
        <v>15</v>
      </c>
      <c r="I18">
        <v>0</v>
      </c>
    </row>
    <row r="19" spans="1:9" x14ac:dyDescent="0.45">
      <c r="A19" s="2" t="s">
        <v>13</v>
      </c>
      <c r="E19">
        <v>1</v>
      </c>
      <c r="F19">
        <v>1</v>
      </c>
      <c r="G19">
        <f>SUMPRODUCT(E19:F19,E11:F11)</f>
        <v>1</v>
      </c>
      <c r="H19" t="s">
        <v>15</v>
      </c>
      <c r="I19">
        <v>1</v>
      </c>
    </row>
    <row r="20" spans="1:9" x14ac:dyDescent="0.45">
      <c r="A20" s="2" t="s">
        <v>14</v>
      </c>
      <c r="D20">
        <v>1</v>
      </c>
      <c r="E20">
        <v>1</v>
      </c>
      <c r="F20">
        <v>1</v>
      </c>
      <c r="G20">
        <f>SUMPRODUCT(D20:F20,D11:F11)</f>
        <v>1</v>
      </c>
      <c r="H20" t="s">
        <v>16</v>
      </c>
      <c r="I20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Budgeting_Empty</vt:lpstr>
      <vt:lpstr>Capital Budgeting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</dc:creator>
  <cp:lastModifiedBy>YANG Bo</cp:lastModifiedBy>
  <dcterms:created xsi:type="dcterms:W3CDTF">2015-06-05T18:17:20Z</dcterms:created>
  <dcterms:modified xsi:type="dcterms:W3CDTF">2026-02-27T02:27:26Z</dcterms:modified>
</cp:coreProperties>
</file>