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yangb\Dropbox\Teaching\IEDA 1250 Summer 2026\"/>
    </mc:Choice>
  </mc:AlternateContent>
  <xr:revisionPtr revIDLastSave="0" documentId="13_ncr:1_{B4EFA837-E1AF-480C-A395-50D960355868}" xr6:coauthVersionLast="47" xr6:coauthVersionMax="47" xr10:uidLastSave="{00000000-0000-0000-0000-000000000000}"/>
  <bookViews>
    <workbookView xWindow="5887" yWindow="0" windowWidth="47358" windowHeight="15886" xr2:uid="{00000000-000D-0000-FFFF-FFFF00000000}"/>
  </bookViews>
  <sheets>
    <sheet name="LP" sheetId="1" r:id="rId1"/>
    <sheet name="Answer Report 1" sheetId="3" r:id="rId2"/>
    <sheet name="Sensitivity Report 1" sheetId="4" r:id="rId3"/>
  </sheets>
  <definedNames>
    <definedName name="solver_adj" localSheetId="0" hidden="1">LP!$B$3:$D$3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LP!$E$10:$E$13</definedName>
    <definedName name="solver_lhs2" localSheetId="0" hidden="1">LP!$E$8:$E$9</definedName>
    <definedName name="solver_lhs3" localSheetId="0" hidden="1">LP!$E$9</definedName>
    <definedName name="solver_lhs4" localSheetId="0" hidden="1">LP!$E$10</definedName>
    <definedName name="solver_lhs5" localSheetId="0" hidden="1">LP!$E$8</definedName>
    <definedName name="solver_lhs6" localSheetId="0" hidden="1">LP!$E$9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2</definedName>
    <definedName name="solver_nwt" localSheetId="0" hidden="1">1</definedName>
    <definedName name="solver_opt" localSheetId="0" hidden="1">LP!$E$5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3</definedName>
    <definedName name="solver_rel3" localSheetId="0" hidden="1">3</definedName>
    <definedName name="solver_rel4" localSheetId="0" hidden="1">1</definedName>
    <definedName name="solver_rel5" localSheetId="0" hidden="1">3</definedName>
    <definedName name="solver_rel6" localSheetId="0" hidden="1">3</definedName>
    <definedName name="solver_rhs1" localSheetId="0" hidden="1">LP!$G$10:$G$13</definedName>
    <definedName name="solver_rhs2" localSheetId="0" hidden="1">LP!$G$8:$G$9</definedName>
    <definedName name="solver_rhs3" localSheetId="0" hidden="1">LP!$G$9</definedName>
    <definedName name="solver_rhs4" localSheetId="0" hidden="1">LP!$G$10</definedName>
    <definedName name="solver_rhs5" localSheetId="0" hidden="1">LP!$G$8</definedName>
    <definedName name="solver_rhs6" localSheetId="0" hidden="1">LP!$G$9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1" l="1"/>
  <c r="E10" i="1"/>
  <c r="E11" i="1"/>
  <c r="E12" i="1"/>
  <c r="E13" i="1"/>
  <c r="E8" i="1"/>
  <c r="E5" i="1"/>
</calcChain>
</file>

<file path=xl/sharedStrings.xml><?xml version="1.0" encoding="utf-8"?>
<sst xmlns="http://schemas.openxmlformats.org/spreadsheetml/2006/main" count="130" uniqueCount="77">
  <si>
    <t>Variables</t>
  </si>
  <si>
    <t>x</t>
  </si>
  <si>
    <t>y</t>
  </si>
  <si>
    <t>z</t>
  </si>
  <si>
    <t>Objective Coeffs.</t>
  </si>
  <si>
    <t>OBJ=</t>
  </si>
  <si>
    <t>Constraints</t>
  </si>
  <si>
    <t>Vitamin A</t>
  </si>
  <si>
    <t>Max Calories</t>
  </si>
  <si>
    <t>Min  Calories</t>
  </si>
  <si>
    <t>Availiability x</t>
  </si>
  <si>
    <t>Availiability y</t>
  </si>
  <si>
    <t>Availiability z</t>
  </si>
  <si>
    <t>&gt;=</t>
  </si>
  <si>
    <t>&lt;=</t>
  </si>
  <si>
    <t>Microsoft Excel 16.0 Answer Report</t>
  </si>
  <si>
    <t>Worksheet: [LinearProgram_Empty.xlsx]LP</t>
  </si>
  <si>
    <t>Report Created: 6/18/2026 4:19:01 PM</t>
  </si>
  <si>
    <t>Result: Solver found a solution.  All Constraints and optimality conditions are satisfied.</t>
  </si>
  <si>
    <t>Solver Engine</t>
  </si>
  <si>
    <t>Engine: Simplex LP</t>
  </si>
  <si>
    <t>Solution Time: 0 Seconds.</t>
  </si>
  <si>
    <t>Iterations: 6 Subproblems: 0</t>
  </si>
  <si>
    <t>Solver Options</t>
  </si>
  <si>
    <t>Max Time Unlimited,  Iterations Unlimited, Precision 0.000001, Use Automatic Scaling</t>
  </si>
  <si>
    <t>Max Subproblems Unlimited, Max Integer Sols Unlimited, Integer Tolerance 1%, Assume NonNegative</t>
  </si>
  <si>
    <t>Objective Cell (Min)</t>
  </si>
  <si>
    <t>Cell</t>
  </si>
  <si>
    <t>Name</t>
  </si>
  <si>
    <t>Original Value</t>
  </si>
  <si>
    <t>Final Value</t>
  </si>
  <si>
    <t>Variable Cells</t>
  </si>
  <si>
    <t>Integer</t>
  </si>
  <si>
    <t>Cell Value</t>
  </si>
  <si>
    <t>Formula</t>
  </si>
  <si>
    <t>Status</t>
  </si>
  <si>
    <t>Slack</t>
  </si>
  <si>
    <t>$E$5</t>
  </si>
  <si>
    <t>Objective Coeffs. OBJ=</t>
  </si>
  <si>
    <t>$B$3</t>
  </si>
  <si>
    <t>Contin</t>
  </si>
  <si>
    <t>$C$3</t>
  </si>
  <si>
    <t>$D$3</t>
  </si>
  <si>
    <t>$E$10</t>
  </si>
  <si>
    <t>Max Calories OBJ=</t>
  </si>
  <si>
    <t>$E$10&lt;=$G$10</t>
  </si>
  <si>
    <t>Not Binding</t>
  </si>
  <si>
    <t>$E$11</t>
  </si>
  <si>
    <t>Availiability x OBJ=</t>
  </si>
  <si>
    <t>$E$11&lt;=$G$11</t>
  </si>
  <si>
    <t>$E$12</t>
  </si>
  <si>
    <t>Availiability y OBJ=</t>
  </si>
  <si>
    <t>$E$12&lt;=$G$12</t>
  </si>
  <si>
    <t>Binding</t>
  </si>
  <si>
    <t>$E$13</t>
  </si>
  <si>
    <t>Availiability z OBJ=</t>
  </si>
  <si>
    <t>$E$13&lt;=$G$13</t>
  </si>
  <si>
    <t>$E$8</t>
  </si>
  <si>
    <t>Vitamin A OBJ=</t>
  </si>
  <si>
    <t>$E$8&gt;=$G$8</t>
  </si>
  <si>
    <t>$E$9</t>
  </si>
  <si>
    <t>Min  Calories OBJ=</t>
  </si>
  <si>
    <t>$E$9&gt;=$G$9</t>
  </si>
  <si>
    <t>Microsoft Excel 16.0 Sensitivity Report</t>
  </si>
  <si>
    <t>Final</t>
  </si>
  <si>
    <t>Value</t>
  </si>
  <si>
    <t>Reduced</t>
  </si>
  <si>
    <t>Cost</t>
  </si>
  <si>
    <t>Objective</t>
  </si>
  <si>
    <t>Coefficient</t>
  </si>
  <si>
    <t>Allowable</t>
  </si>
  <si>
    <t>Increase</t>
  </si>
  <si>
    <t>Decrease</t>
  </si>
  <si>
    <t>Shadow</t>
  </si>
  <si>
    <t>Price</t>
  </si>
  <si>
    <t>Constraint</t>
  </si>
  <si>
    <t>R.H. 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</si>
</sst>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1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/>
    <xf numFmtId="0" fontId="0" fillId="0" borderId="5" xfId="0" applyFill="1" applyBorder="1" applyAlignment="1"/>
    <xf numFmtId="0" fontId="2" fillId="0" borderId="4" xfId="0" applyFont="1" applyFill="1" applyBorder="1" applyAlignment="1">
      <alignment horizontal="center"/>
    </xf>
    <xf numFmtId="0" fontId="0" fillId="0" borderId="6" xfId="0" applyFill="1" applyBorder="1" applyAlignment="1"/>
    <xf numFmtId="0" fontId="0" fillId="0" borderId="5" xfId="0" applyNumberFormat="1" applyFill="1" applyBorder="1" applyAlignment="1"/>
    <xf numFmtId="0" fontId="0" fillId="0" borderId="6" xfId="0" applyNumberFormat="1" applyFill="1" applyBorder="1" applyAlignment="1"/>
    <xf numFmtId="0" fontId="2" fillId="0" borderId="2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173831</xdr:colOff>
      <xdr:row>0</xdr:row>
      <xdr:rowOff>113898</xdr:rowOff>
    </xdr:from>
    <xdr:to>
      <xdr:col>10</xdr:col>
      <xdr:colOff>554831</xdr:colOff>
      <xdr:row>4</xdr:row>
      <xdr:rowOff>48914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1FD710-A731-6F6A-E068-952A064355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40994" y="113898"/>
          <a:ext cx="3619500" cy="6589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zoomScale="270" zoomScaleNormal="270" workbookViewId="0">
      <selection activeCell="E13" sqref="E13"/>
    </sheetView>
  </sheetViews>
  <sheetFormatPr defaultRowHeight="14.4" x14ac:dyDescent="0.3"/>
  <cols>
    <col min="1" max="1" width="19.296875" style="1" customWidth="1"/>
  </cols>
  <sheetData>
    <row r="1" spans="1:7" x14ac:dyDescent="0.3">
      <c r="B1" s="1"/>
      <c r="C1" s="1"/>
      <c r="D1" s="1"/>
      <c r="E1" s="1"/>
      <c r="F1" s="1"/>
    </row>
    <row r="2" spans="1:7" x14ac:dyDescent="0.3">
      <c r="A2" s="2" t="s">
        <v>0</v>
      </c>
      <c r="B2" s="1" t="s">
        <v>1</v>
      </c>
      <c r="C2" s="1" t="s">
        <v>2</v>
      </c>
      <c r="D2" s="1" t="s">
        <v>3</v>
      </c>
      <c r="E2" s="1"/>
      <c r="F2" s="1"/>
    </row>
    <row r="3" spans="1:7" x14ac:dyDescent="0.3">
      <c r="B3" s="3">
        <v>1.9444444444444438</v>
      </c>
      <c r="C3" s="3">
        <v>10</v>
      </c>
      <c r="D3" s="3">
        <v>10</v>
      </c>
      <c r="E3" s="1"/>
      <c r="F3" s="1"/>
    </row>
    <row r="4" spans="1:7" x14ac:dyDescent="0.3">
      <c r="B4" s="1"/>
      <c r="C4" s="1"/>
      <c r="D4" s="1"/>
      <c r="E4" s="2" t="s">
        <v>5</v>
      </c>
      <c r="F4" s="1"/>
    </row>
    <row r="5" spans="1:7" x14ac:dyDescent="0.3">
      <c r="A5" s="2" t="s">
        <v>4</v>
      </c>
      <c r="B5" s="1">
        <v>0.18</v>
      </c>
      <c r="C5" s="1">
        <v>0.23</v>
      </c>
      <c r="D5" s="1">
        <v>0.05</v>
      </c>
      <c r="E5" s="4">
        <f>SUMPRODUCT(B3:D3,B5:D5)</f>
        <v>3.1500000000000004</v>
      </c>
      <c r="F5" s="1"/>
    </row>
    <row r="6" spans="1:7" x14ac:dyDescent="0.3">
      <c r="B6" s="1"/>
      <c r="C6" s="1"/>
      <c r="D6" s="1"/>
      <c r="E6" s="1"/>
      <c r="F6" s="1"/>
    </row>
    <row r="7" spans="1:7" x14ac:dyDescent="0.3">
      <c r="A7" s="2" t="s">
        <v>6</v>
      </c>
      <c r="B7" s="1"/>
      <c r="C7" s="1"/>
      <c r="D7" s="1"/>
      <c r="E7" s="1"/>
      <c r="F7" s="1"/>
    </row>
    <row r="8" spans="1:7" x14ac:dyDescent="0.3">
      <c r="A8" s="1" t="s">
        <v>7</v>
      </c>
      <c r="B8" s="1">
        <v>107</v>
      </c>
      <c r="C8" s="1">
        <v>500</v>
      </c>
      <c r="D8" s="1">
        <v>0</v>
      </c>
      <c r="E8" s="1">
        <f>SUMPRODUCT($B$3:$D$3,B8:D8)</f>
        <v>5208.0555555555557</v>
      </c>
      <c r="F8" t="s">
        <v>13</v>
      </c>
      <c r="G8" s="1">
        <v>5000</v>
      </c>
    </row>
    <row r="9" spans="1:7" x14ac:dyDescent="0.3">
      <c r="A9" s="1" t="s">
        <v>9</v>
      </c>
      <c r="B9" s="1">
        <v>72</v>
      </c>
      <c r="C9" s="1">
        <v>121</v>
      </c>
      <c r="D9" s="1">
        <v>65</v>
      </c>
      <c r="E9" s="1">
        <f t="shared" ref="E9:E13" si="0">SUMPRODUCT($B$3:$D$3,B9:D9)</f>
        <v>2000</v>
      </c>
      <c r="F9" t="s">
        <v>13</v>
      </c>
      <c r="G9" s="1">
        <v>2000</v>
      </c>
    </row>
    <row r="10" spans="1:7" x14ac:dyDescent="0.3">
      <c r="A10" s="1" t="s">
        <v>8</v>
      </c>
      <c r="B10" s="1">
        <v>72</v>
      </c>
      <c r="C10" s="1">
        <v>121</v>
      </c>
      <c r="D10" s="1">
        <v>65</v>
      </c>
      <c r="E10" s="1">
        <f t="shared" si="0"/>
        <v>2000</v>
      </c>
      <c r="F10" t="s">
        <v>14</v>
      </c>
      <c r="G10" s="1">
        <v>2250</v>
      </c>
    </row>
    <row r="11" spans="1:7" x14ac:dyDescent="0.3">
      <c r="A11" s="1" t="s">
        <v>10</v>
      </c>
      <c r="B11" s="1">
        <v>1</v>
      </c>
      <c r="C11" s="1">
        <v>0</v>
      </c>
      <c r="D11" s="1">
        <v>0</v>
      </c>
      <c r="E11" s="1">
        <f t="shared" si="0"/>
        <v>1.9444444444444438</v>
      </c>
      <c r="F11" s="5" t="s">
        <v>14</v>
      </c>
      <c r="G11" s="1">
        <v>10</v>
      </c>
    </row>
    <row r="12" spans="1:7" x14ac:dyDescent="0.3">
      <c r="A12" s="1" t="s">
        <v>11</v>
      </c>
      <c r="B12" s="1">
        <v>0</v>
      </c>
      <c r="C12" s="1">
        <v>1</v>
      </c>
      <c r="D12" s="1">
        <v>0</v>
      </c>
      <c r="E12" s="1">
        <f t="shared" si="0"/>
        <v>10</v>
      </c>
      <c r="F12" t="s">
        <v>14</v>
      </c>
      <c r="G12" s="1">
        <v>10</v>
      </c>
    </row>
    <row r="13" spans="1:7" x14ac:dyDescent="0.3">
      <c r="A13" s="1" t="s">
        <v>12</v>
      </c>
      <c r="B13" s="1">
        <v>0</v>
      </c>
      <c r="C13" s="1">
        <v>0</v>
      </c>
      <c r="D13" s="1">
        <v>1</v>
      </c>
      <c r="E13" s="1">
        <f t="shared" si="0"/>
        <v>10</v>
      </c>
      <c r="F13" t="s">
        <v>14</v>
      </c>
      <c r="G13" s="1">
        <v>10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13ECF-C473-4BAD-BFAB-A96F604465AB}">
  <dimension ref="A1:G33"/>
  <sheetViews>
    <sheetView showGridLines="0" workbookViewId="0"/>
  </sheetViews>
  <sheetFormatPr defaultRowHeight="14.4" x14ac:dyDescent="0.3"/>
  <cols>
    <col min="1" max="1" width="2.19921875" customWidth="1"/>
    <col min="2" max="2" width="5.796875" bestFit="1" customWidth="1"/>
    <col min="3" max="3" width="18.3984375" bestFit="1" customWidth="1"/>
    <col min="4" max="4" width="12.09765625" bestFit="1" customWidth="1"/>
    <col min="5" max="5" width="12.796875" bestFit="1" customWidth="1"/>
    <col min="6" max="6" width="9.796875" bestFit="1" customWidth="1"/>
    <col min="7" max="7" width="11.8984375" bestFit="1" customWidth="1"/>
  </cols>
  <sheetData>
    <row r="1" spans="1:5" x14ac:dyDescent="0.3">
      <c r="A1" s="6" t="s">
        <v>15</v>
      </c>
    </row>
    <row r="2" spans="1:5" x14ac:dyDescent="0.3">
      <c r="A2" s="6" t="s">
        <v>16</v>
      </c>
    </row>
    <row r="3" spans="1:5" x14ac:dyDescent="0.3">
      <c r="A3" s="6" t="s">
        <v>17</v>
      </c>
    </row>
    <row r="4" spans="1:5" x14ac:dyDescent="0.3">
      <c r="A4" s="6" t="s">
        <v>18</v>
      </c>
    </row>
    <row r="5" spans="1:5" x14ac:dyDescent="0.3">
      <c r="A5" s="6" t="s">
        <v>19</v>
      </c>
    </row>
    <row r="6" spans="1:5" x14ac:dyDescent="0.3">
      <c r="A6" s="6"/>
      <c r="B6" t="s">
        <v>20</v>
      </c>
    </row>
    <row r="7" spans="1:5" x14ac:dyDescent="0.3">
      <c r="A7" s="6"/>
      <c r="B7" t="s">
        <v>21</v>
      </c>
    </row>
    <row r="8" spans="1:5" x14ac:dyDescent="0.3">
      <c r="A8" s="6"/>
      <c r="B8" t="s">
        <v>22</v>
      </c>
    </row>
    <row r="9" spans="1:5" x14ac:dyDescent="0.3">
      <c r="A9" s="6" t="s">
        <v>23</v>
      </c>
    </row>
    <row r="10" spans="1:5" x14ac:dyDescent="0.3">
      <c r="B10" t="s">
        <v>24</v>
      </c>
    </row>
    <row r="11" spans="1:5" x14ac:dyDescent="0.3">
      <c r="B11" t="s">
        <v>25</v>
      </c>
    </row>
    <row r="14" spans="1:5" ht="15" thickBot="1" x14ac:dyDescent="0.35">
      <c r="A14" t="s">
        <v>26</v>
      </c>
    </row>
    <row r="15" spans="1:5" ht="15" thickBot="1" x14ac:dyDescent="0.35">
      <c r="B15" s="8" t="s">
        <v>27</v>
      </c>
      <c r="C15" s="8" t="s">
        <v>28</v>
      </c>
      <c r="D15" s="8" t="s">
        <v>29</v>
      </c>
      <c r="E15" s="8" t="s">
        <v>30</v>
      </c>
    </row>
    <row r="16" spans="1:5" ht="15" thickBot="1" x14ac:dyDescent="0.35">
      <c r="B16" s="7" t="s">
        <v>37</v>
      </c>
      <c r="C16" s="7" t="s">
        <v>38</v>
      </c>
      <c r="D16" s="10">
        <v>3.1500000000000004</v>
      </c>
      <c r="E16" s="10">
        <v>3.1500000000000004</v>
      </c>
    </row>
    <row r="19" spans="1:7" ht="15" thickBot="1" x14ac:dyDescent="0.35">
      <c r="A19" t="s">
        <v>31</v>
      </c>
    </row>
    <row r="20" spans="1:7" ht="15" thickBot="1" x14ac:dyDescent="0.35">
      <c r="B20" s="8" t="s">
        <v>27</v>
      </c>
      <c r="C20" s="8" t="s">
        <v>28</v>
      </c>
      <c r="D20" s="8" t="s">
        <v>29</v>
      </c>
      <c r="E20" s="8" t="s">
        <v>30</v>
      </c>
      <c r="F20" s="8" t="s">
        <v>32</v>
      </c>
    </row>
    <row r="21" spans="1:7" x14ac:dyDescent="0.3">
      <c r="B21" s="9" t="s">
        <v>39</v>
      </c>
      <c r="C21" s="9" t="s">
        <v>1</v>
      </c>
      <c r="D21" s="11">
        <v>1.9444444444444438</v>
      </c>
      <c r="E21" s="11">
        <v>1.9444444444444438</v>
      </c>
      <c r="F21" s="9" t="s">
        <v>40</v>
      </c>
    </row>
    <row r="22" spans="1:7" x14ac:dyDescent="0.3">
      <c r="B22" s="9" t="s">
        <v>41</v>
      </c>
      <c r="C22" s="9" t="s">
        <v>2</v>
      </c>
      <c r="D22" s="11">
        <v>10</v>
      </c>
      <c r="E22" s="11">
        <v>10</v>
      </c>
      <c r="F22" s="9" t="s">
        <v>40</v>
      </c>
    </row>
    <row r="23" spans="1:7" ht="15" thickBot="1" x14ac:dyDescent="0.35">
      <c r="B23" s="7" t="s">
        <v>42</v>
      </c>
      <c r="C23" s="7" t="s">
        <v>3</v>
      </c>
      <c r="D23" s="10">
        <v>10</v>
      </c>
      <c r="E23" s="10">
        <v>10</v>
      </c>
      <c r="F23" s="7" t="s">
        <v>40</v>
      </c>
    </row>
    <row r="26" spans="1:7" ht="15" thickBot="1" x14ac:dyDescent="0.35">
      <c r="A26" t="s">
        <v>6</v>
      </c>
    </row>
    <row r="27" spans="1:7" ht="15" thickBot="1" x14ac:dyDescent="0.35">
      <c r="B27" s="8" t="s">
        <v>27</v>
      </c>
      <c r="C27" s="8" t="s">
        <v>28</v>
      </c>
      <c r="D27" s="8" t="s">
        <v>33</v>
      </c>
      <c r="E27" s="8" t="s">
        <v>34</v>
      </c>
      <c r="F27" s="8" t="s">
        <v>35</v>
      </c>
      <c r="G27" s="8" t="s">
        <v>36</v>
      </c>
    </row>
    <row r="28" spans="1:7" x14ac:dyDescent="0.3">
      <c r="B28" s="9" t="s">
        <v>43</v>
      </c>
      <c r="C28" s="9" t="s">
        <v>44</v>
      </c>
      <c r="D28" s="11">
        <v>2000</v>
      </c>
      <c r="E28" s="9" t="s">
        <v>45</v>
      </c>
      <c r="F28" s="9" t="s">
        <v>46</v>
      </c>
      <c r="G28" s="9">
        <v>250</v>
      </c>
    </row>
    <row r="29" spans="1:7" x14ac:dyDescent="0.3">
      <c r="B29" s="9" t="s">
        <v>47</v>
      </c>
      <c r="C29" s="9" t="s">
        <v>48</v>
      </c>
      <c r="D29" s="11">
        <v>1.9444444444444438</v>
      </c>
      <c r="E29" s="9" t="s">
        <v>49</v>
      </c>
      <c r="F29" s="9" t="s">
        <v>46</v>
      </c>
      <c r="G29" s="9">
        <v>8.0555555555555571</v>
      </c>
    </row>
    <row r="30" spans="1:7" x14ac:dyDescent="0.3">
      <c r="B30" s="9" t="s">
        <v>50</v>
      </c>
      <c r="C30" s="9" t="s">
        <v>51</v>
      </c>
      <c r="D30" s="11">
        <v>10</v>
      </c>
      <c r="E30" s="9" t="s">
        <v>52</v>
      </c>
      <c r="F30" s="9" t="s">
        <v>53</v>
      </c>
      <c r="G30" s="9">
        <v>0</v>
      </c>
    </row>
    <row r="31" spans="1:7" x14ac:dyDescent="0.3">
      <c r="B31" s="9" t="s">
        <v>54</v>
      </c>
      <c r="C31" s="9" t="s">
        <v>55</v>
      </c>
      <c r="D31" s="11">
        <v>10</v>
      </c>
      <c r="E31" s="9" t="s">
        <v>56</v>
      </c>
      <c r="F31" s="9" t="s">
        <v>53</v>
      </c>
      <c r="G31" s="9">
        <v>0</v>
      </c>
    </row>
    <row r="32" spans="1:7" x14ac:dyDescent="0.3">
      <c r="B32" s="9" t="s">
        <v>57</v>
      </c>
      <c r="C32" s="9" t="s">
        <v>58</v>
      </c>
      <c r="D32" s="11">
        <v>5208.0555555555557</v>
      </c>
      <c r="E32" s="9" t="s">
        <v>59</v>
      </c>
      <c r="F32" s="9" t="s">
        <v>46</v>
      </c>
      <c r="G32" s="11">
        <v>208.05555555555566</v>
      </c>
    </row>
    <row r="33" spans="2:7" ht="15" thickBot="1" x14ac:dyDescent="0.35">
      <c r="B33" s="7" t="s">
        <v>60</v>
      </c>
      <c r="C33" s="7" t="s">
        <v>61</v>
      </c>
      <c r="D33" s="10">
        <v>2000</v>
      </c>
      <c r="E33" s="7" t="s">
        <v>62</v>
      </c>
      <c r="F33" s="7" t="s">
        <v>53</v>
      </c>
      <c r="G33" s="1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BA699-4611-48C5-9E53-DD5213B8C48E}">
  <dimension ref="A1:H21"/>
  <sheetViews>
    <sheetView showGridLines="0" workbookViewId="0"/>
  </sheetViews>
  <sheetFormatPr defaultRowHeight="14.4" x14ac:dyDescent="0.3"/>
  <cols>
    <col min="1" max="1" width="2.19921875" customWidth="1"/>
    <col min="2" max="2" width="5.796875" bestFit="1" customWidth="1"/>
    <col min="3" max="3" width="15.19921875" bestFit="1" customWidth="1"/>
    <col min="4" max="4" width="11.8984375" bestFit="1" customWidth="1"/>
    <col min="5" max="5" width="7.796875" bestFit="1" customWidth="1"/>
    <col min="6" max="6" width="9.59765625" bestFit="1" customWidth="1"/>
    <col min="7" max="8" width="11.8984375" bestFit="1" customWidth="1"/>
  </cols>
  <sheetData>
    <row r="1" spans="1:8" x14ac:dyDescent="0.3">
      <c r="A1" s="6" t="s">
        <v>63</v>
      </c>
    </row>
    <row r="2" spans="1:8" x14ac:dyDescent="0.3">
      <c r="A2" s="6" t="s">
        <v>16</v>
      </c>
    </row>
    <row r="3" spans="1:8" x14ac:dyDescent="0.3">
      <c r="A3" s="6" t="s">
        <v>17</v>
      </c>
    </row>
    <row r="6" spans="1:8" ht="15" thickBot="1" x14ac:dyDescent="0.35">
      <c r="A6" t="s">
        <v>31</v>
      </c>
    </row>
    <row r="7" spans="1:8" x14ac:dyDescent="0.3">
      <c r="B7" s="12"/>
      <c r="C7" s="12"/>
      <c r="D7" s="12" t="s">
        <v>64</v>
      </c>
      <c r="E7" s="12" t="s">
        <v>66</v>
      </c>
      <c r="F7" s="12" t="s">
        <v>68</v>
      </c>
      <c r="G7" s="12" t="s">
        <v>70</v>
      </c>
      <c r="H7" s="12" t="s">
        <v>70</v>
      </c>
    </row>
    <row r="8" spans="1:8" ht="15" thickBot="1" x14ac:dyDescent="0.35">
      <c r="B8" s="13" t="s">
        <v>27</v>
      </c>
      <c r="C8" s="13" t="s">
        <v>28</v>
      </c>
      <c r="D8" s="13" t="s">
        <v>65</v>
      </c>
      <c r="E8" s="13" t="s">
        <v>67</v>
      </c>
      <c r="F8" s="13" t="s">
        <v>69</v>
      </c>
      <c r="G8" s="13" t="s">
        <v>71</v>
      </c>
      <c r="H8" s="13" t="s">
        <v>72</v>
      </c>
    </row>
    <row r="9" spans="1:8" x14ac:dyDescent="0.3">
      <c r="B9" s="9" t="s">
        <v>39</v>
      </c>
      <c r="C9" s="9" t="s">
        <v>1</v>
      </c>
      <c r="D9" s="9">
        <v>1.9444444444444438</v>
      </c>
      <c r="E9" s="9">
        <v>0</v>
      </c>
      <c r="F9" s="9">
        <v>0.18</v>
      </c>
      <c r="G9" s="9">
        <v>1E+30</v>
      </c>
      <c r="H9" s="9">
        <v>4.3140495867768573E-2</v>
      </c>
    </row>
    <row r="10" spans="1:8" x14ac:dyDescent="0.3">
      <c r="B10" s="9" t="s">
        <v>41</v>
      </c>
      <c r="C10" s="9" t="s">
        <v>2</v>
      </c>
      <c r="D10" s="9">
        <v>10</v>
      </c>
      <c r="E10" s="9">
        <v>0</v>
      </c>
      <c r="F10" s="9">
        <v>0.23000000000000004</v>
      </c>
      <c r="G10" s="9">
        <v>7.2499999999999981E-2</v>
      </c>
      <c r="H10" s="9">
        <v>1E+30</v>
      </c>
    </row>
    <row r="11" spans="1:8" ht="15" thickBot="1" x14ac:dyDescent="0.35">
      <c r="B11" s="7" t="s">
        <v>42</v>
      </c>
      <c r="C11" s="7" t="s">
        <v>3</v>
      </c>
      <c r="D11" s="7">
        <v>10</v>
      </c>
      <c r="E11" s="7">
        <v>0</v>
      </c>
      <c r="F11" s="7">
        <v>4.9999999999999989E-2</v>
      </c>
      <c r="G11" s="7">
        <v>0.11249999999999999</v>
      </c>
      <c r="H11" s="7">
        <v>1E+30</v>
      </c>
    </row>
    <row r="13" spans="1:8" ht="15" thickBot="1" x14ac:dyDescent="0.35">
      <c r="A13" t="s">
        <v>6</v>
      </c>
    </row>
    <row r="14" spans="1:8" x14ac:dyDescent="0.3">
      <c r="B14" s="12"/>
      <c r="C14" s="12"/>
      <c r="D14" s="12" t="s">
        <v>64</v>
      </c>
      <c r="E14" s="12" t="s">
        <v>73</v>
      </c>
      <c r="F14" s="12" t="s">
        <v>75</v>
      </c>
      <c r="G14" s="12" t="s">
        <v>70</v>
      </c>
      <c r="H14" s="12" t="s">
        <v>70</v>
      </c>
    </row>
    <row r="15" spans="1:8" ht="15" thickBot="1" x14ac:dyDescent="0.35">
      <c r="B15" s="13" t="s">
        <v>27</v>
      </c>
      <c r="C15" s="13" t="s">
        <v>28</v>
      </c>
      <c r="D15" s="13" t="s">
        <v>65</v>
      </c>
      <c r="E15" s="13" t="s">
        <v>74</v>
      </c>
      <c r="F15" s="13" t="s">
        <v>76</v>
      </c>
      <c r="G15" s="13" t="s">
        <v>71</v>
      </c>
      <c r="H15" s="13" t="s">
        <v>72</v>
      </c>
    </row>
    <row r="16" spans="1:8" x14ac:dyDescent="0.3">
      <c r="B16" s="9" t="s">
        <v>43</v>
      </c>
      <c r="C16" s="9" t="s">
        <v>44</v>
      </c>
      <c r="D16" s="9">
        <v>2000</v>
      </c>
      <c r="E16" s="9">
        <v>0</v>
      </c>
      <c r="F16" s="9">
        <v>2250</v>
      </c>
      <c r="G16" s="9">
        <v>1E+30</v>
      </c>
      <c r="H16" s="9">
        <v>250</v>
      </c>
    </row>
    <row r="17" spans="2:8" x14ac:dyDescent="0.3">
      <c r="B17" s="9" t="s">
        <v>47</v>
      </c>
      <c r="C17" s="9" t="s">
        <v>48</v>
      </c>
      <c r="D17" s="9">
        <v>1.9444444444444438</v>
      </c>
      <c r="E17" s="9">
        <v>0</v>
      </c>
      <c r="F17" s="9">
        <v>10</v>
      </c>
      <c r="G17" s="9">
        <v>1E+30</v>
      </c>
      <c r="H17" s="9">
        <v>8.0555555555555571</v>
      </c>
    </row>
    <row r="18" spans="2:8" x14ac:dyDescent="0.3">
      <c r="B18" s="9" t="s">
        <v>50</v>
      </c>
      <c r="C18" s="9" t="s">
        <v>51</v>
      </c>
      <c r="D18" s="9">
        <v>10</v>
      </c>
      <c r="E18" s="9">
        <v>-7.2499999999999981E-2</v>
      </c>
      <c r="F18" s="9">
        <v>10</v>
      </c>
      <c r="G18" s="9">
        <v>1.157024793388429</v>
      </c>
      <c r="H18" s="9">
        <v>0.64980696655532899</v>
      </c>
    </row>
    <row r="19" spans="2:8" x14ac:dyDescent="0.3">
      <c r="B19" s="9" t="s">
        <v>54</v>
      </c>
      <c r="C19" s="9" t="s">
        <v>55</v>
      </c>
      <c r="D19" s="9">
        <v>10</v>
      </c>
      <c r="E19" s="9">
        <v>-0.11249999999999999</v>
      </c>
      <c r="F19" s="9">
        <v>10</v>
      </c>
      <c r="G19" s="9">
        <v>2.1538461538461529</v>
      </c>
      <c r="H19" s="9">
        <v>8.9230769230769269</v>
      </c>
    </row>
    <row r="20" spans="2:8" x14ac:dyDescent="0.3">
      <c r="B20" s="9" t="s">
        <v>57</v>
      </c>
      <c r="C20" s="9" t="s">
        <v>58</v>
      </c>
      <c r="D20" s="9">
        <v>5208.0555555555557</v>
      </c>
      <c r="E20" s="9">
        <v>0</v>
      </c>
      <c r="F20" s="9">
        <v>5000</v>
      </c>
      <c r="G20" s="9">
        <v>208.05555555555554</v>
      </c>
      <c r="H20" s="9">
        <v>1E+30</v>
      </c>
    </row>
    <row r="21" spans="2:8" ht="15" thickBot="1" x14ac:dyDescent="0.35">
      <c r="B21" s="7" t="s">
        <v>60</v>
      </c>
      <c r="C21" s="7" t="s">
        <v>61</v>
      </c>
      <c r="D21" s="7">
        <v>2000</v>
      </c>
      <c r="E21" s="7">
        <v>2.5000000000000001E-3</v>
      </c>
      <c r="F21" s="7">
        <v>2000</v>
      </c>
      <c r="G21" s="7">
        <v>250</v>
      </c>
      <c r="H21" s="7">
        <v>139.99999999999994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LP</vt:lpstr>
      <vt:lpstr>Answer Report 1</vt:lpstr>
      <vt:lpstr>Sensitivity Report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YANG, Bo</dc:creator>
  <cp:lastModifiedBy>YANG Bo</cp:lastModifiedBy>
  <dcterms:created xsi:type="dcterms:W3CDTF">2015-06-05T18:17:20Z</dcterms:created>
  <dcterms:modified xsi:type="dcterms:W3CDTF">2026-06-18T08:19:15Z</dcterms:modified>
</cp:coreProperties>
</file>